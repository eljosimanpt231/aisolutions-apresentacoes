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Mapa para preço" sheetId="2" r:id="rId2"/>
    <sheet name="Esclarecimentos" sheetId="3" r:id="rId3"/>
    <sheet name="Âmbito e notas" sheetId="4" r:id="rId4"/>
    <sheet name="Documentos" sheetId="5" r:id="rId5"/>
  </sheets>
  <definedNames>
    <definedName name="_xlnm._FilterDatabase" localSheetId="1">'Mapa para preço'!A4:N42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4.83203125" customWidth="1"/>
    <col min="2" max="2" width="80.83203125" customWidth="1"/>
  </cols>
  <sheetData>
    <row r="1">
      <c r="A1" t="str">
        <v>Resumo do pedido</v>
      </c>
    </row>
    <row r="3">
      <c r="A3" t="str">
        <v>Obra</v>
      </c>
      <c r="B3" t="str">
        <v>ICON SAILOR, Habitação Multifamiliar, Rua da Praia n.º 87 e 89, Praia da Barra</v>
      </c>
    </row>
    <row r="4">
      <c r="A4" t="str">
        <v>Empreiteiro</v>
      </c>
      <c r="B4" t="str">
        <v>ICON</v>
      </c>
    </row>
    <row r="5">
      <c r="A5" t="str">
        <v>Subempreitada</v>
      </c>
      <c r="B5" t="str">
        <v>Carpintarias</v>
      </c>
    </row>
    <row r="6">
      <c r="A6" t="str">
        <v>Prazo da proposta</v>
      </c>
      <c r="B6" t="str">
        <v>09/10/2026</v>
      </c>
    </row>
    <row r="7">
      <c r="A7" t="str">
        <v>Arquiteto</v>
      </c>
      <c r="B7" t="str">
        <v>Francisco Nicolau</v>
      </c>
    </row>
    <row r="8">
      <c r="A8" t="str">
        <v>Fase do projeto</v>
      </c>
      <c r="B8" t="str">
        <v>Licenciamento (desenhos de 01/09/2026)</v>
      </c>
    </row>
    <row r="10">
      <c r="A10" t="str">
        <v>Roupeiros</v>
      </c>
      <c r="B10">
        <v>28</v>
      </c>
    </row>
    <row r="11">
      <c r="A11" t="str">
        <v>Portas interiores (VI-01 a VI-06)</v>
      </c>
      <c r="B11">
        <v>51</v>
      </c>
    </row>
    <row r="12">
      <c r="A12" t="str">
        <v>Armários técnicos e do quadro</v>
      </c>
      <c r="B12">
        <v>28</v>
      </c>
    </row>
    <row r="13">
      <c r="A13" t="str">
        <v>Móveis de lavatório</v>
      </c>
      <c r="B13">
        <v>17</v>
      </c>
    </row>
    <row r="14">
      <c r="A14" t="str">
        <v>Painéis ripados</v>
      </c>
      <c r="B14">
        <v>3</v>
      </c>
    </row>
    <row r="15">
      <c r="A15" t="str">
        <v>Rodapé (ml)</v>
      </c>
      <c r="B15">
        <v>293.72</v>
      </c>
    </row>
    <row r="16">
      <c r="A16" t="str">
        <v>Cozinhas</v>
      </c>
      <c r="B16" t="str">
        <v>desenhadas, fora do MQT: por confirmar</v>
      </c>
    </row>
    <row r="17">
      <c r="A17" t="str">
        <v>Pedidos de esclarecimento</v>
      </c>
      <c r="B17">
        <v>12</v>
      </c>
    </row>
    <row r="18">
      <c r="A18" t="str">
        <v>Desenhos lidos</v>
      </c>
      <c r="B18">
        <v>42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width="8.83203125" customWidth="1"/>
    <col min="2" max="2" width="18.83203125" customWidth="1"/>
    <col min="3" max="3" width="48.83203125" customWidth="1"/>
    <col min="4" max="4" width="7.83203125" customWidth="1"/>
    <col min="5" max="5" width="7.83203125" customWidth="1"/>
    <col min="6" max="6" width="7.83203125" customWidth="1"/>
    <col min="7" max="7" width="8.83203125" customWidth="1"/>
    <col min="8" max="8" width="5.83203125" customWidth="1"/>
    <col min="9" max="9" width="12.83203125" customWidth="1"/>
    <col min="10" max="10" width="60.83203125" customWidth="1"/>
    <col min="11" max="11" width="60.83203125" customWidth="1"/>
    <col min="12" max="12" width="14.83203125" customWidth="1"/>
    <col min="13" max="13" width="14.83203125" customWidth="1"/>
    <col min="14" max="14" width="40.83203125" customWidth="1"/>
  </cols>
  <sheetData>
    <row r="1">
      <c r="A1" t="str">
        <v>ICON SAILOR, Barra · subempreitada de carpintarias · levantamento para orçamento</v>
      </c>
    </row>
    <row r="2">
      <c r="A2" t="str">
        <v>Lido do MQT e de 42 desenhos pela AI Solutions para a Carpintaria Casanova. Preencha a coluna L (preço unitário): os totais calculam-se sozinhos.</v>
      </c>
    </row>
    <row r="4">
      <c r="A4" t="str">
        <v>Art. MQT</v>
      </c>
      <c r="B4" t="str">
        <v>Código</v>
      </c>
      <c r="C4" t="str">
        <v>Descrição</v>
      </c>
      <c r="D4" t="str">
        <v>L (m)</v>
      </c>
      <c r="E4" t="str">
        <v>A (m)</v>
      </c>
      <c r="F4" t="str">
        <v>P (m)</v>
      </c>
      <c r="G4" t="str">
        <v>Qtd</v>
      </c>
      <c r="H4" t="str">
        <v>Un</v>
      </c>
      <c r="I4" t="str">
        <v>Frente total (m²)</v>
      </c>
      <c r="J4" t="str">
        <v>Materiais e acabamento</v>
      </c>
      <c r="K4" t="str">
        <v>Ferragens</v>
      </c>
      <c r="L4" t="str">
        <v>Preço unitário (€)</v>
      </c>
      <c r="M4" t="str">
        <v>Total (€)</v>
      </c>
      <c r="N4" t="str">
        <v>Notas e estado</v>
      </c>
    </row>
    <row r="5">
      <c r="A5" t="str">
        <v>1.1.1</v>
      </c>
      <c r="B5" t="str">
        <v>ARM-01</v>
      </c>
      <c r="C5" t="str">
        <v>Roupeiro</v>
      </c>
      <c r="D5">
        <v>1.5</v>
      </c>
      <c r="E5">
        <v>2.45</v>
      </c>
      <c r="F5">
        <v>0.6</v>
      </c>
      <c r="G5">
        <v>6</v>
      </c>
      <c r="H5" t="str">
        <v>un</v>
      </c>
      <c r="I5">
        <v>22.05</v>
      </c>
      <c r="J5" t="str">
        <v>Frentes e ilhargas visíveis MDF 19 mm lacado meio brilho RAL 9010 (face interior melamina linho); interiores aglomerado 19 mm melamina linho; fundo 10 mm e base 5 mm melamina linho</v>
      </c>
      <c r="K5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5">
        <f>IF(AND(ISNUMBER(G5),ISNUMBER(L5)),G5*L5,"")</f>
      </c>
      <c r="N5" t="str">
        <v/>
      </c>
    </row>
    <row r="6">
      <c r="A6" t="str">
        <v>1.1.1</v>
      </c>
      <c r="B6" t="str">
        <v>ARM-02</v>
      </c>
      <c r="C6" t="str">
        <v>Roupeiro</v>
      </c>
      <c r="D6">
        <v>1.9</v>
      </c>
      <c r="E6">
        <v>2.45</v>
      </c>
      <c r="F6">
        <v>0.6</v>
      </c>
      <c r="G6">
        <v>5</v>
      </c>
      <c r="H6" t="str">
        <v>un</v>
      </c>
      <c r="I6">
        <v>23.28</v>
      </c>
      <c r="J6" t="str">
        <v>Frentes e ilhargas visíveis MDF 19 mm lacado meio brilho RAL 9010 (face interior melamina linho); interiores aglomerado 19 mm melamina linho; fundo 10 mm e base 5 mm melamina linho</v>
      </c>
      <c r="K6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6">
        <f>IF(AND(ISNUMBER(G6),ISNUMBER(L6)),G6*L6,"")</f>
      </c>
      <c r="N6" t="str">
        <v/>
      </c>
    </row>
    <row r="7">
      <c r="A7" t="str">
        <v>1.1.1</v>
      </c>
      <c r="B7" t="str">
        <v>ARM-03</v>
      </c>
      <c r="C7" t="str">
        <v>Roupeiro</v>
      </c>
      <c r="D7">
        <v>2</v>
      </c>
      <c r="E7">
        <v>2.45</v>
      </c>
      <c r="F7">
        <v>0.6</v>
      </c>
      <c r="G7">
        <v>4</v>
      </c>
      <c r="H7" t="str">
        <v>un</v>
      </c>
      <c r="I7">
        <v>19.6</v>
      </c>
      <c r="J7" t="str">
        <v>Frentes e ilhargas visíveis MDF 19 mm lacado meio brilho RAL 9010 (face interior melamina linho); interiores aglomerado 19 mm melamina linho; fundo 10 mm e base 5 mm melamina linho</v>
      </c>
      <c r="K7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7">
        <f>IF(AND(ISNUMBER(G7),ISNUMBER(L7)),G7*L7,"")</f>
      </c>
      <c r="N7" t="str">
        <v/>
      </c>
    </row>
    <row r="8">
      <c r="A8" t="str">
        <v>1.1.1</v>
      </c>
      <c r="B8" t="str">
        <v>ARM-04</v>
      </c>
      <c r="C8" t="str">
        <v>Roupeiro</v>
      </c>
      <c r="D8">
        <v>1.8</v>
      </c>
      <c r="E8">
        <v>2.45</v>
      </c>
      <c r="F8">
        <v>0.6</v>
      </c>
      <c r="G8">
        <v>3</v>
      </c>
      <c r="H8" t="str">
        <v>un</v>
      </c>
      <c r="I8">
        <v>13.23</v>
      </c>
      <c r="J8" t="str">
        <v>Frentes e ilhargas visíveis MDF 19 mm lacado meio brilho RAL 9010 (face interior melamina linho); interiores aglomerado 19 mm melamina linho; fundo 10 mm e base 5 mm melamina linho</v>
      </c>
      <c r="K8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8">
        <f>IF(AND(ISNUMBER(G8),ISNUMBER(L8)),G8*L8,"")</f>
      </c>
      <c r="N8" t="str">
        <v/>
      </c>
    </row>
    <row r="9">
      <c r="A9" t="str">
        <v>1.1.1</v>
      </c>
      <c r="B9" t="str">
        <v>ARM-05</v>
      </c>
      <c r="C9" t="str">
        <v>Roupeiro</v>
      </c>
      <c r="D9">
        <v>1.6</v>
      </c>
      <c r="E9">
        <v>2.45</v>
      </c>
      <c r="F9">
        <v>0.6</v>
      </c>
      <c r="G9">
        <v>2</v>
      </c>
      <c r="H9" t="str">
        <v>un</v>
      </c>
      <c r="I9">
        <v>7.84</v>
      </c>
      <c r="J9" t="str">
        <v>Frentes e ilhargas visíveis MDF 19 mm lacado meio brilho RAL 9010 (face interior melamina linho); interiores aglomerado 19 mm melamina linho; fundo 10 mm e base 5 mm melamina linho</v>
      </c>
      <c r="K9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9">
        <f>IF(AND(ISNUMBER(G9),ISNUMBER(L9)),G9*L9,"")</f>
      </c>
      <c r="N9" t="str">
        <v/>
      </c>
    </row>
    <row r="10">
      <c r="A10" t="str">
        <v>1.1.1</v>
      </c>
      <c r="B10" t="str">
        <v>ARM-06</v>
      </c>
      <c r="C10" t="str">
        <v>Roupeiro</v>
      </c>
      <c r="D10">
        <v>3</v>
      </c>
      <c r="E10">
        <v>2.4</v>
      </c>
      <c r="F10">
        <v>0.6</v>
      </c>
      <c r="G10">
        <v>2</v>
      </c>
      <c r="H10" t="str">
        <v>un</v>
      </c>
      <c r="I10">
        <v>14.4</v>
      </c>
      <c r="J10" t="str">
        <v>Frentes e ilhargas visíveis MDF 19 mm lacado meio brilho RAL 9010 (face interior melamina linho); interiores aglomerado 19 mm melamina linho; fundo 10 mm e base 5 mm melamina linho</v>
      </c>
      <c r="K10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0">
        <f>IF(AND(ISNUMBER(G10),ISNUMBER(L10)),G10*L10,"")</f>
      </c>
      <c r="N10" t="str">
        <v/>
      </c>
    </row>
    <row r="11">
      <c r="A11" t="str">
        <v>1.1.1</v>
      </c>
      <c r="B11" t="str">
        <v>ARM-07</v>
      </c>
      <c r="C11" t="str">
        <v>Roupeiro</v>
      </c>
      <c r="D11">
        <v>1.5</v>
      </c>
      <c r="E11">
        <v>2.4</v>
      </c>
      <c r="F11">
        <v>0.6</v>
      </c>
      <c r="G11">
        <v>1</v>
      </c>
      <c r="H11" t="str">
        <v>un</v>
      </c>
      <c r="I11">
        <v>3.6</v>
      </c>
      <c r="J11" t="str">
        <v>Frentes e ilhargas visíveis MDF 19 mm lacado meio brilho RAL 9010 (face interior melamina linho); interiores aglomerado 19 mm melamina linho; fundo 10 mm e base 5 mm melamina linho</v>
      </c>
      <c r="K11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1">
        <f>IF(AND(ISNUMBER(G11),ISNUMBER(L11)),G11*L11,"")</f>
      </c>
      <c r="N11" t="str">
        <v/>
      </c>
    </row>
    <row r="12">
      <c r="A12" t="str">
        <v>1.1.1</v>
      </c>
      <c r="B12" t="str">
        <v>ARM-08A</v>
      </c>
      <c r="C12" t="str">
        <v>Roupeiro</v>
      </c>
      <c r="D12">
        <v>1.5</v>
      </c>
      <c r="E12">
        <v>2.45</v>
      </c>
      <c r="F12">
        <v>0.6</v>
      </c>
      <c r="G12">
        <v>1</v>
      </c>
      <c r="H12" t="str">
        <v>un</v>
      </c>
      <c r="I12">
        <v>3.68</v>
      </c>
      <c r="J12" t="str">
        <v>Frentes e ilhargas visíveis MDF 19 mm lacado meio brilho RAL 9010 (face interior melamina linho); interiores aglomerado 19 mm melamina linho; fundo 10 mm e base 5 mm melamina linho</v>
      </c>
      <c r="K12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2">
        <f>IF(AND(ISNUMBER(G12),ISNUMBER(L12)),G12*L12,"")</f>
      </c>
      <c r="N12" t="str">
        <v/>
      </c>
    </row>
    <row r="13">
      <c r="A13" t="str">
        <v>1.1.1</v>
      </c>
      <c r="B13" t="str">
        <v>ARM-08B</v>
      </c>
      <c r="C13" t="str">
        <v>Roupeiro</v>
      </c>
      <c r="D13">
        <v>2.24</v>
      </c>
      <c r="E13">
        <v>2.45</v>
      </c>
      <c r="F13">
        <v>0.6</v>
      </c>
      <c r="G13">
        <v>1</v>
      </c>
      <c r="H13" t="str">
        <v>un</v>
      </c>
      <c r="I13">
        <v>5.49</v>
      </c>
      <c r="J13" t="str">
        <v>Frentes e ilhargas visíveis MDF 19 mm lacado meio brilho RAL 9010 (face interior melamina linho); interiores aglomerado 19 mm melamina linho; fundo 10 mm e base 5 mm melamina linho</v>
      </c>
      <c r="K13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3">
        <f>IF(AND(ISNUMBER(G13),ISNUMBER(L13)),G13*L13,"")</f>
      </c>
      <c r="N13" t="str">
        <v/>
      </c>
    </row>
    <row r="14">
      <c r="A14" t="str">
        <v>1.1.1</v>
      </c>
      <c r="B14" t="str">
        <v>ARM-09A</v>
      </c>
      <c r="C14" t="str">
        <v>Roupeiro</v>
      </c>
      <c r="D14">
        <v>1.2</v>
      </c>
      <c r="E14">
        <v>2.45</v>
      </c>
      <c r="F14">
        <v>0.6</v>
      </c>
      <c r="G14">
        <v>1</v>
      </c>
      <c r="H14" t="str">
        <v>un</v>
      </c>
      <c r="I14">
        <v>2.94</v>
      </c>
      <c r="J14" t="str">
        <v>Frentes e ilhargas visíveis MDF 19 mm lacado meio brilho RAL 9010 (face interior melamina linho); interiores aglomerado 19 mm melamina linho; fundo 10 mm e base 5 mm melamina linho</v>
      </c>
      <c r="K14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4">
        <f>IF(AND(ISNUMBER(G14),ISNUMBER(L14)),G14*L14,"")</f>
      </c>
      <c r="N14" t="str">
        <v/>
      </c>
    </row>
    <row r="15">
      <c r="A15" t="str">
        <v>1.1.1</v>
      </c>
      <c r="B15" t="str">
        <v>ARM-09B</v>
      </c>
      <c r="C15" t="str">
        <v>Roupeiro</v>
      </c>
      <c r="D15">
        <v>1.8</v>
      </c>
      <c r="E15">
        <v>2.45</v>
      </c>
      <c r="F15">
        <v>0.6</v>
      </c>
      <c r="G15">
        <v>1</v>
      </c>
      <c r="H15" t="str">
        <v>un</v>
      </c>
      <c r="I15">
        <v>4.41</v>
      </c>
      <c r="J15" t="str">
        <v>Frentes e ilhargas visíveis MDF 19 mm lacado meio brilho RAL 9010 (face interior melamina linho); interiores aglomerado 19 mm melamina linho; fundo 10 mm e base 5 mm melamina linho</v>
      </c>
      <c r="K15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5">
        <f>IF(AND(ISNUMBER(G15),ISNUMBER(L15)),G15*L15,"")</f>
      </c>
      <c r="N15" t="str">
        <v/>
      </c>
    </row>
    <row r="16">
      <c r="A16" t="str">
        <v>1.1.1</v>
      </c>
      <c r="B16" t="str">
        <v>ARM-10</v>
      </c>
      <c r="C16" t="str">
        <v>Roupeiro</v>
      </c>
      <c r="D16">
        <v>2.95</v>
      </c>
      <c r="E16">
        <v>2.45</v>
      </c>
      <c r="F16">
        <v>0.6</v>
      </c>
      <c r="G16">
        <v>1</v>
      </c>
      <c r="H16" t="str">
        <v>un</v>
      </c>
      <c r="I16">
        <v>7.23</v>
      </c>
      <c r="J16" t="str">
        <v>Frentes e ilhargas visíveis MDF 19 mm lacado meio brilho RAL 9010 (face interior melamina linho); interiores aglomerado 19 mm melamina linho; fundo 10 mm e base 5 mm melamina linho</v>
      </c>
      <c r="K16" t="str">
        <v>4/5 dobradiças por porta Häfele 311.60.506/505 + calço 311.71.570; varão 801.11.749 + suportes 803.51.757; corrediças 422.41.950; suporte de prateleira inox 281.41.907; puxador cilíndrico alumínio Häfele 135.93.903 (desenho) vs 'puxador em cava' (MQT)</v>
      </c>
      <c r="M16">
        <f>IF(AND(ISNUMBER(G16),ISNUMBER(L16)),G16*L16,"")</f>
      </c>
      <c r="N16" t="str">
        <v/>
      </c>
    </row>
    <row r="17">
      <c r="A17" t="str">
        <v>1.2.1</v>
      </c>
      <c r="B17" t="str">
        <v>ARM.TEC-01</v>
      </c>
      <c r="C17" t="str">
        <v>Armário técnico</v>
      </c>
      <c r="D17" t="str">
        <v/>
      </c>
      <c r="E17" t="str">
        <v/>
      </c>
      <c r="F17" t="str">
        <v/>
      </c>
      <c r="G17">
        <v>2</v>
      </c>
      <c r="H17" t="str">
        <v>un</v>
      </c>
      <c r="I17" t="str">
        <v/>
      </c>
      <c r="J17" t="str">
        <v>Folhas e ilhargas MDF termolaminado carvalho natural (textura a definir); fundo rebocado e pintado (não é carpintaria)</v>
      </c>
      <c r="K17" t="str">
        <v>Fecho com mola Tic-Tac ajustável (push open)</v>
      </c>
      <c r="M17">
        <f>IF(AND(ISNUMBER(G17),ISNUMBER(L17)),G17*L17,"")</f>
      </c>
      <c r="N17" t="str">
        <v>dimensões nas cotas dos desenhos</v>
      </c>
    </row>
    <row r="18">
      <c r="A18" t="str">
        <v>1.2.1</v>
      </c>
      <c r="B18" t="str">
        <v>ARM.TEC-02</v>
      </c>
      <c r="C18" t="str">
        <v>Armário técnico</v>
      </c>
      <c r="D18" t="str">
        <v/>
      </c>
      <c r="E18" t="str">
        <v/>
      </c>
      <c r="F18" t="str">
        <v/>
      </c>
      <c r="G18">
        <v>1</v>
      </c>
      <c r="H18" t="str">
        <v>un</v>
      </c>
      <c r="I18" t="str">
        <v/>
      </c>
      <c r="J18" t="str">
        <v>Folhas e ilhargas MDF termolaminado carvalho natural (textura a definir); fundo rebocado e pintado (não é carpintaria)</v>
      </c>
      <c r="K18" t="str">
        <v>Fecho com mola Tic-Tac ajustável (push open)</v>
      </c>
      <c r="M18">
        <f>IF(AND(ISNUMBER(G18),ISNUMBER(L18)),G18*L18,"")</f>
      </c>
      <c r="N18" t="str">
        <v>dimensões nas cotas dos desenhos</v>
      </c>
    </row>
    <row r="19">
      <c r="A19" t="str">
        <v>1.2.1</v>
      </c>
      <c r="B19" t="str">
        <v>ARM.TEC-03A</v>
      </c>
      <c r="C19" t="str">
        <v>Armário técnico</v>
      </c>
      <c r="D19" t="str">
        <v/>
      </c>
      <c r="E19" t="str">
        <v/>
      </c>
      <c r="F19" t="str">
        <v/>
      </c>
      <c r="G19">
        <v>1</v>
      </c>
      <c r="H19" t="str">
        <v>un</v>
      </c>
      <c r="I19" t="str">
        <v/>
      </c>
      <c r="J19" t="str">
        <v>Folhas e ilhargas MDF termolaminado carvalho natural (textura a definir); fundo rebocado e pintado (não é carpintaria)</v>
      </c>
      <c r="K19" t="str">
        <v>Fecho com mola Tic-Tac ajustável (push open)</v>
      </c>
      <c r="M19">
        <f>IF(AND(ISNUMBER(G19),ISNUMBER(L19)),G19*L19,"")</f>
      </c>
      <c r="N19" t="str">
        <v>dimensões nas cotas dos desenhos</v>
      </c>
    </row>
    <row r="20">
      <c r="A20" t="str">
        <v>1.2.1</v>
      </c>
      <c r="B20" t="str">
        <v>ARM.TEC-03B</v>
      </c>
      <c r="C20" t="str">
        <v>Armário técnico</v>
      </c>
      <c r="D20" t="str">
        <v/>
      </c>
      <c r="E20" t="str">
        <v/>
      </c>
      <c r="F20" t="str">
        <v/>
      </c>
      <c r="G20">
        <v>1</v>
      </c>
      <c r="H20" t="str">
        <v>un</v>
      </c>
      <c r="I20" t="str">
        <v/>
      </c>
      <c r="J20" t="str">
        <v>Folhas e ilhargas MDF termolaminado carvalho natural (textura a definir); fundo rebocado e pintado (não é carpintaria)</v>
      </c>
      <c r="K20" t="str">
        <v>Fecho com mola Tic-Tac ajustável (push open)</v>
      </c>
      <c r="M20">
        <f>IF(AND(ISNUMBER(G20),ISNUMBER(L20)),G20*L20,"")</f>
      </c>
      <c r="N20" t="str">
        <v>dimensões nas cotas dos desenhos</v>
      </c>
    </row>
    <row r="21">
      <c r="A21" t="str">
        <v>1.2.1</v>
      </c>
      <c r="B21" t="str">
        <v>ARM.TEC-04A</v>
      </c>
      <c r="C21" t="str">
        <v>Armário técnico</v>
      </c>
      <c r="D21" t="str">
        <v/>
      </c>
      <c r="E21" t="str">
        <v/>
      </c>
      <c r="F21" t="str">
        <v/>
      </c>
      <c r="G21">
        <v>1</v>
      </c>
      <c r="H21" t="str">
        <v>un</v>
      </c>
      <c r="I21" t="str">
        <v/>
      </c>
      <c r="J21" t="str">
        <v>Folhas e ilhargas MDF termolaminado carvalho natural (textura a definir); fundo rebocado e pintado (não é carpintaria)</v>
      </c>
      <c r="K21" t="str">
        <v>Fecho com mola Tic-Tac ajustável (push open)</v>
      </c>
      <c r="M21">
        <f>IF(AND(ISNUMBER(G21),ISNUMBER(L21)),G21*L21,"")</f>
      </c>
      <c r="N21" t="str">
        <v>dimensões nas cotas dos desenhos</v>
      </c>
    </row>
    <row r="22">
      <c r="A22" t="str">
        <v>1.2.1</v>
      </c>
      <c r="B22" t="str">
        <v>ARM.TEC-04B</v>
      </c>
      <c r="C22" t="str">
        <v>Armário técnico</v>
      </c>
      <c r="D22" t="str">
        <v/>
      </c>
      <c r="E22" t="str">
        <v/>
      </c>
      <c r="F22" t="str">
        <v/>
      </c>
      <c r="G22">
        <v>1</v>
      </c>
      <c r="H22" t="str">
        <v>un</v>
      </c>
      <c r="I22" t="str">
        <v/>
      </c>
      <c r="J22" t="str">
        <v>Folhas e ilhargas MDF termolaminado carvalho natural (textura a definir); fundo rebocado e pintado (não é carpintaria)</v>
      </c>
      <c r="K22" t="str">
        <v>Fecho com mola Tic-Tac ajustável (push open)</v>
      </c>
      <c r="M22">
        <f>IF(AND(ISNUMBER(G22),ISNUMBER(L22)),G22*L22,"")</f>
      </c>
      <c r="N22" t="str">
        <v>dimensões nas cotas dos desenhos</v>
      </c>
    </row>
    <row r="23">
      <c r="A23" t="str">
        <v>1.2.1</v>
      </c>
      <c r="B23" t="str">
        <v>ARM.TEC-05</v>
      </c>
      <c r="C23" t="str">
        <v>Armário técnico</v>
      </c>
      <c r="D23" t="str">
        <v/>
      </c>
      <c r="E23" t="str">
        <v/>
      </c>
      <c r="F23" t="str">
        <v/>
      </c>
      <c r="G23">
        <v>1</v>
      </c>
      <c r="H23" t="str">
        <v>un</v>
      </c>
      <c r="I23" t="str">
        <v/>
      </c>
      <c r="J23" t="str">
        <v>Folhas e ilhargas MDF termolaminado carvalho natural (textura a definir); fundo rebocado e pintado (não é carpintaria)</v>
      </c>
      <c r="K23" t="str">
        <v>Fecho com mola Tic-Tac ajustável (push open)</v>
      </c>
      <c r="M23">
        <f>IF(AND(ISNUMBER(G23),ISNUMBER(L23)),G23*L23,"")</f>
      </c>
      <c r="N23" t="str">
        <v>TEC-05: 3 folhas de abrir</v>
      </c>
    </row>
    <row r="24">
      <c r="A24" t="str">
        <v>1.2.1</v>
      </c>
      <c r="B24" t="str">
        <v>ARM.TEC-06</v>
      </c>
      <c r="C24" t="str">
        <v>Armário técnico</v>
      </c>
      <c r="D24" t="str">
        <v/>
      </c>
      <c r="E24" t="str">
        <v/>
      </c>
      <c r="F24" t="str">
        <v/>
      </c>
      <c r="G24">
        <v>1</v>
      </c>
      <c r="H24" t="str">
        <v>un</v>
      </c>
      <c r="I24" t="str">
        <v/>
      </c>
      <c r="J24" t="str">
        <v>Folhas e ilhargas MDF termolaminado carvalho natural (textura a definir); fundo rebocado e pintado (não é carpintaria)</v>
      </c>
      <c r="K24" t="str">
        <v>Fecho com mola Tic-Tac ajustável (push open)</v>
      </c>
      <c r="M24">
        <f>IF(AND(ISNUMBER(G24),ISNUMBER(L24)),G24*L24,"")</f>
      </c>
      <c r="N24" t="str">
        <v>sem desenho no conjunto recebido</v>
      </c>
    </row>
    <row r="25">
      <c r="A25" t="str">
        <v>1.2.1</v>
      </c>
      <c r="B25" t="str">
        <v>ARM.TE-08 a ARM.TE-13</v>
      </c>
      <c r="C25" t="str">
        <v>Armário técnico</v>
      </c>
      <c r="D25" t="str">
        <v/>
      </c>
      <c r="E25" t="str">
        <v/>
      </c>
      <c r="F25" t="str">
        <v/>
      </c>
      <c r="G25">
        <v>13</v>
      </c>
      <c r="H25" t="str">
        <v>un</v>
      </c>
      <c r="I25" t="str">
        <v/>
      </c>
      <c r="J25" t="str">
        <v>Folhas e ilhargas MDF termolaminado carvalho natural (textura a definir); fundo rebocado e pintado (não é carpintaria)</v>
      </c>
      <c r="K25" t="str">
        <v>Fecho com mola Tic-Tac ajustável (push open)</v>
      </c>
      <c r="M25">
        <f>IF(AND(ISNUMBER(G25),ISNUMBER(L25)),G25*L25,"")</f>
      </c>
      <c r="N25" t="str">
        <v>sem desenho no conjunto recebido</v>
      </c>
    </row>
    <row r="26">
      <c r="A26" t="str">
        <v>1.3</v>
      </c>
      <c r="B26" t="str">
        <v>ARMTE-01</v>
      </c>
      <c r="C26" t="str">
        <v>Armário do quadro elétrico</v>
      </c>
      <c r="D26" t="str">
        <v/>
      </c>
      <c r="E26" t="str">
        <v/>
      </c>
      <c r="F26" t="str">
        <v/>
      </c>
      <c r="G26">
        <v>1</v>
      </c>
      <c r="H26" t="str">
        <v>un</v>
      </c>
      <c r="I26" t="str">
        <v/>
      </c>
      <c r="J26" t="str">
        <v>MDF termolaminado carvalho natural, push open</v>
      </c>
      <c r="K26" t="str">
        <v/>
      </c>
      <c r="M26">
        <f>IF(AND(ISNUMBER(G26),ISNUMBER(L26)),G26*L26,"")</f>
      </c>
      <c r="N26" t="str">
        <v/>
      </c>
    </row>
    <row r="27">
      <c r="A27" t="str">
        <v>1.3</v>
      </c>
      <c r="B27" t="str">
        <v>ARMTE-03</v>
      </c>
      <c r="C27" t="str">
        <v>Armário do quadro elétrico</v>
      </c>
      <c r="D27" t="str">
        <v/>
      </c>
      <c r="E27" t="str">
        <v/>
      </c>
      <c r="F27" t="str">
        <v/>
      </c>
      <c r="G27">
        <v>2</v>
      </c>
      <c r="H27" t="str">
        <v>un</v>
      </c>
      <c r="I27" t="str">
        <v/>
      </c>
      <c r="J27" t="str">
        <v/>
      </c>
      <c r="K27" t="str">
        <v/>
      </c>
      <c r="M27">
        <f>IF(AND(ISNUMBER(G27),ISNUMBER(L27)),G27*L27,"")</f>
      </c>
      <c r="N27" t="str">
        <v/>
      </c>
    </row>
    <row r="28">
      <c r="A28" t="str">
        <v>1.3</v>
      </c>
      <c r="B28" t="str">
        <v>ARMTE-04</v>
      </c>
      <c r="C28" t="str">
        <v>Armário do quadro elétrico</v>
      </c>
      <c r="D28" t="str">
        <v/>
      </c>
      <c r="E28" t="str">
        <v/>
      </c>
      <c r="F28" t="str">
        <v/>
      </c>
      <c r="G28">
        <v>1</v>
      </c>
      <c r="H28" t="str">
        <v>un</v>
      </c>
      <c r="I28" t="str">
        <v/>
      </c>
      <c r="J28" t="str">
        <v/>
      </c>
      <c r="K28" t="str">
        <v/>
      </c>
      <c r="M28">
        <f>IF(AND(ISNUMBER(G28),ISNUMBER(L28)),G28*L28,"")</f>
      </c>
      <c r="N28" t="str">
        <v/>
      </c>
    </row>
    <row r="29">
      <c r="A29" t="str">
        <v>1.3</v>
      </c>
      <c r="B29" t="str">
        <v>ARMTE-06</v>
      </c>
      <c r="C29" t="str">
        <v>Armário do quadro elétrico</v>
      </c>
      <c r="D29" t="str">
        <v/>
      </c>
      <c r="E29" t="str">
        <v/>
      </c>
      <c r="F29" t="str">
        <v/>
      </c>
      <c r="G29">
        <v>2</v>
      </c>
      <c r="H29" t="str">
        <v>un</v>
      </c>
      <c r="I29" t="str">
        <v/>
      </c>
      <c r="J29" t="str">
        <v/>
      </c>
      <c r="K29" t="str">
        <v/>
      </c>
      <c r="M29">
        <f>IF(AND(ISNUMBER(G29),ISNUMBER(L29)),G29*L29,"")</f>
      </c>
      <c r="N29" t="str">
        <v>armários do QE; MQT diz 'MDF', desenhos dizem termolaminado carvalho</v>
      </c>
    </row>
    <row r="30">
      <c r="A30" t="str">
        <v>2.1</v>
      </c>
      <c r="B30" t="str">
        <v>VI-01</v>
      </c>
      <c r="C30" t="str">
        <v>Porta de entrada de apartamento, 1 folha, min. 37 dB, esp. min. 50 mm (MQT diz 5,5 cm) (folha 0,90 x 2,20 (por confirmar, leitura da tabela))</v>
      </c>
      <c r="D30">
        <v>0.9</v>
      </c>
      <c r="E30">
        <v>2.2</v>
      </c>
      <c r="F30" t="str">
        <v/>
      </c>
      <c r="G30">
        <v>10</v>
      </c>
      <c r="H30" t="str">
        <v>un</v>
      </c>
      <c r="I30">
        <v>19.8</v>
      </c>
      <c r="J30" t="str">
        <v>Lacada RAL 9010 interior / RAL 9005 exterior</v>
      </c>
      <c r="K30" t="str">
        <v>Fechadura eletrónica fornecida pelo cliente; 3 dobradiças invisíveis JNF COPLAN 100 IN.05.066.B</v>
      </c>
      <c r="M30">
        <f>IF(AND(ISNUMBER(G30),ISNUMBER(L30)),G30*L30,"")</f>
      </c>
      <c r="N30" t="str">
        <v/>
      </c>
    </row>
    <row r="31">
      <c r="A31" t="str">
        <v>2.2</v>
      </c>
      <c r="B31" t="str">
        <v>VI-02</v>
      </c>
      <c r="C31" t="str">
        <v>Porta interior de batente à face da guarnição, 1 folha (folha 0,80 x 2,20)</v>
      </c>
      <c r="D31">
        <v>0.8</v>
      </c>
      <c r="E31">
        <v>2.2</v>
      </c>
      <c r="F31" t="str">
        <v/>
      </c>
      <c r="G31">
        <v>21</v>
      </c>
      <c r="H31" t="str">
        <v>un</v>
      </c>
      <c r="I31">
        <v>36.96</v>
      </c>
      <c r="J31" t="str">
        <v>Lacada RAL 9010 (MQT meio brilho; desenho mate)</v>
      </c>
      <c r="K31" t="str">
        <v>Puxador JNF IN.00.177.TB + roseta RC08M.TB; entradas de chave IN.04.28R.P08N.TB; fechadura magnética IN.20.837.BA; 3 dobradiças COPLAN 100</v>
      </c>
      <c r="M31">
        <f>IF(AND(ISNUMBER(G31),ISNUMBER(L31)),G31*L31,"")</f>
      </c>
      <c r="N31" t="str">
        <v>no desenho o código VI-02 aparece em 2 colunas (batente 20 + pocket 0,80 x 2,45 1)</v>
      </c>
    </row>
    <row r="32">
      <c r="A32" t="str">
        <v>2.3</v>
      </c>
      <c r="B32" t="str">
        <v>VI-03</v>
      </c>
      <c r="C32" t="str">
        <v>MQT: batente igual a VI-02; desenho: porta pocket com cassete, soft close duplo (folha 0,80 x 2,45)</v>
      </c>
      <c r="D32">
        <v>0.8</v>
      </c>
      <c r="E32">
        <v>2.45</v>
      </c>
      <c r="F32" t="str">
        <v/>
      </c>
      <c r="G32">
        <v>3</v>
      </c>
      <c r="H32" t="str">
        <v>un</v>
      </c>
      <c r="I32">
        <v>5.88</v>
      </c>
      <c r="J32" t="str">
        <v/>
      </c>
      <c r="K32" t="str">
        <v/>
      </c>
      <c r="M32">
        <f>IF(AND(ISNUMBER(G32),ISNUMBER(L32)),G32*L32,"")</f>
      </c>
      <c r="N32" t="str">
        <v/>
      </c>
    </row>
    <row r="33">
      <c r="A33" t="str">
        <v>2.4</v>
      </c>
      <c r="B33" t="str">
        <v>VI-04</v>
      </c>
      <c r="C33" t="str">
        <v>Porta pivotante sem aro, 1 folha, sem guarnição (folha 0,76 x 2,20)</v>
      </c>
      <c r="D33">
        <v>0.76</v>
      </c>
      <c r="E33">
        <v>2.2</v>
      </c>
      <c r="F33" t="str">
        <v/>
      </c>
      <c r="G33">
        <v>3</v>
      </c>
      <c r="H33" t="str">
        <v>un</v>
      </c>
      <c r="I33">
        <v>5.02</v>
      </c>
      <c r="J33" t="str">
        <v>Lacada à cor dos armários da cozinha</v>
      </c>
      <c r="K33" t="str">
        <v>Mola helicoidal com ajuste de força + pivot superior JNF; par de puxadores IN.00.177.TB + RC08M.TB</v>
      </c>
      <c r="M33">
        <f>IF(AND(ISNUMBER(G33),ISNUMBER(L33)),G33*L33,"")</f>
      </c>
      <c r="N33" t="str">
        <v/>
      </c>
    </row>
    <row r="34">
      <c r="A34" t="str">
        <v>2.5</v>
      </c>
      <c r="B34" t="str">
        <v>VI-05</v>
      </c>
      <c r="C34" t="str">
        <v>Porta pocket com cassete, 1 folha, soft close duplo (folha 0,80 x 2,20)</v>
      </c>
      <c r="D34">
        <v>0.8</v>
      </c>
      <c r="E34">
        <v>2.2</v>
      </c>
      <c r="F34" t="str">
        <v/>
      </c>
      <c r="G34">
        <v>3</v>
      </c>
      <c r="H34" t="str">
        <v>un</v>
      </c>
      <c r="I34">
        <v>5.28</v>
      </c>
      <c r="J34" t="str">
        <v>Lacada RAL 9010</v>
      </c>
      <c r="K34" t="str">
        <v>Fecho WC JNF IN.04.240.TB; conversor IN.20.AWC; fechadura de correr IN.20.501.TB</v>
      </c>
      <c r="M34">
        <f>IF(AND(ISNUMBER(G34),ISNUMBER(L34)),G34*L34,"")</f>
      </c>
      <c r="N34" t="str">
        <v/>
      </c>
    </row>
    <row r="35">
      <c r="A35" t="str">
        <v>2.6</v>
      </c>
      <c r="B35" t="str">
        <v>VI-06</v>
      </c>
      <c r="C35" t="str">
        <v>Porta pocket com cassete, 1 folha, soft close duplo (folha 0,80 x 2,45)</v>
      </c>
      <c r="D35">
        <v>0.8</v>
      </c>
      <c r="E35">
        <v>2.45</v>
      </c>
      <c r="F35" t="str">
        <v/>
      </c>
      <c r="G35">
        <v>11</v>
      </c>
      <c r="H35" t="str">
        <v>un</v>
      </c>
      <c r="I35">
        <v>21.56</v>
      </c>
      <c r="J35" t="str">
        <v>Lacada RAL 9010</v>
      </c>
      <c r="K35" t="str">
        <v>idem VI-05</v>
      </c>
      <c r="M35">
        <f>IF(AND(ISNUMBER(G35),ISNUMBER(L35)),G35*L35,"")</f>
      </c>
      <c r="N35" t="str">
        <v/>
      </c>
    </row>
    <row r="36">
      <c r="A36" t="str">
        <v/>
      </c>
      <c r="B36" t="str">
        <v>VI-07</v>
      </c>
      <c r="C36" t="str">
        <v>Porta corta-fogo metálica lacada RAL 9005, barra antipânico (serralharia, não carpintaria) (folha 0,84 x 2,00)</v>
      </c>
      <c r="D36">
        <v>0.84</v>
      </c>
      <c r="E36">
        <v>2</v>
      </c>
      <c r="F36" t="str">
        <v/>
      </c>
      <c r="G36">
        <v>1</v>
      </c>
      <c r="H36" t="str">
        <v>un</v>
      </c>
      <c r="I36">
        <v>1.68</v>
      </c>
      <c r="J36" t="str">
        <v/>
      </c>
      <c r="K36" t="str">
        <v/>
      </c>
      <c r="M36">
        <f>IF(AND(ISNUMBER(G36),ISNUMBER(L36)),G36*L36,"")</f>
      </c>
      <c r="N36" t="str">
        <v>fora do âmbito: serralharia; não consta do MQT</v>
      </c>
    </row>
    <row r="37">
      <c r="A37" t="str">
        <v>3.1</v>
      </c>
      <c r="B37" t="str">
        <v>PR-01</v>
      </c>
      <c r="C37" t="str">
        <v>Parede divisória sala/cozinha, painel liso + ripado</v>
      </c>
      <c r="D37" t="str">
        <v/>
      </c>
      <c r="E37" t="str">
        <v/>
      </c>
      <c r="F37" t="str">
        <v/>
      </c>
      <c r="G37">
        <v>2</v>
      </c>
      <c r="H37" t="str">
        <v>un</v>
      </c>
      <c r="I37" t="str">
        <v/>
      </c>
      <c r="J37" t="str">
        <v>Montantes de gesso cartonado 48,5; OSB hidrófugo 15 mm revestido SONAE ARAUCO M4451 Mediterranean; ripado 20x30 com afastamento 30 mm; nichos TV, tomadas a 1,30 m, ZAP a 0,40 m</v>
      </c>
      <c r="K37" t="str">
        <v/>
      </c>
      <c r="M37">
        <f>IF(AND(ISNUMBER(G37),ISNUMBER(L37)),G37*L37,"")</f>
      </c>
      <c r="N37" t="str">
        <v>desenho só identifica 1 local; Piso 3, Fração 2.1-G-T2</v>
      </c>
    </row>
    <row r="38">
      <c r="A38" t="str">
        <v>3.1</v>
      </c>
      <c r="B38" t="str">
        <v>PR-02</v>
      </c>
      <c r="C38" t="str">
        <v>Parede divisória hall/sala, painel liso + ripado</v>
      </c>
      <c r="D38" t="str">
        <v/>
      </c>
      <c r="E38" t="str">
        <v/>
      </c>
      <c r="F38" t="str">
        <v/>
      </c>
      <c r="G38">
        <v>1</v>
      </c>
      <c r="H38" t="str">
        <v>un</v>
      </c>
      <c r="I38" t="str">
        <v/>
      </c>
      <c r="J38" t="str">
        <v>idem PR-01</v>
      </c>
      <c r="K38" t="str">
        <v/>
      </c>
      <c r="M38">
        <f>IF(AND(ISNUMBER(G38),ISNUMBER(L38)),G38*L38,"")</f>
      </c>
      <c r="N38" t="str">
        <v>Piso 4, Fração 2.2-H-T4</v>
      </c>
    </row>
    <row r="39">
      <c r="A39" t="str">
        <v>4</v>
      </c>
      <c r="B39" t="str">
        <v>Rodapé</v>
      </c>
      <c r="C39" t="str">
        <v>Rodapé MDF 5 cm lacado meio brilho RAL 9010</v>
      </c>
      <c r="D39" t="str">
        <v/>
      </c>
      <c r="E39" t="str">
        <v/>
      </c>
      <c r="F39" t="str">
        <v/>
      </c>
      <c r="G39">
        <v>293.72</v>
      </c>
      <c r="H39" t="str">
        <v>ml</v>
      </c>
      <c r="I39" t="str">
        <v/>
      </c>
      <c r="J39" t="str">
        <v/>
      </c>
      <c r="K39" t="str">
        <v/>
      </c>
      <c r="M39">
        <f>IF(AND(ISNUMBER(G39),ISNUMBER(L39)),G39*L39,"")</f>
      </c>
      <c r="N39" t="str">
        <v/>
      </c>
    </row>
    <row r="40">
      <c r="A40" t="str">
        <v>5.1</v>
      </c>
      <c r="B40" t="str">
        <v>LAV01</v>
      </c>
      <c r="C40" t="str">
        <v>Móvel suspenso de WC, MDF hidrófugo 19 mm, folheado a carvalho no exterior, interior lacado preto (desenho) / melamina (MQT), 2 gavetas soft close, lavatório termomoldado HIMACS branco</v>
      </c>
      <c r="D40" t="str">
        <v/>
      </c>
      <c r="E40" t="str">
        <v/>
      </c>
      <c r="F40" t="str">
        <v/>
      </c>
      <c r="G40">
        <v>7</v>
      </c>
      <c r="H40" t="str">
        <v>un</v>
      </c>
      <c r="I40" t="str">
        <v/>
      </c>
      <c r="J40" t="str">
        <v/>
      </c>
      <c r="K40" t="str">
        <v/>
      </c>
      <c r="M40">
        <f>IF(AND(ISNUMBER(G40),ISNUMBER(L40)),G40*L40,"")</f>
      </c>
      <c r="N40" t="str">
        <v/>
      </c>
    </row>
    <row r="41">
      <c r="A41" t="str">
        <v>5.1</v>
      </c>
      <c r="B41" t="str">
        <v>LAV02</v>
      </c>
      <c r="C41" t="str">
        <v>Móvel suspenso de WC (ver ARQ_09_14)</v>
      </c>
      <c r="D41" t="str">
        <v/>
      </c>
      <c r="E41" t="str">
        <v/>
      </c>
      <c r="F41" t="str">
        <v/>
      </c>
      <c r="G41">
        <v>10</v>
      </c>
      <c r="H41" t="str">
        <v>un</v>
      </c>
      <c r="I41" t="str">
        <v/>
      </c>
      <c r="J41" t="str">
        <v/>
      </c>
      <c r="K41" t="str">
        <v/>
      </c>
      <c r="M41">
        <f>IF(AND(ISNUMBER(G41),ISNUMBER(L41)),G41*L41,"")</f>
      </c>
      <c r="N41" t="str">
        <v/>
      </c>
    </row>
    <row r="42">
      <c r="A42" t="str">
        <v/>
      </c>
      <c r="B42" t="str">
        <v>CZ-01 a CZ-05</v>
      </c>
      <c r="C42" t="str">
        <v>Cozinhas</v>
      </c>
      <c r="D42" t="str">
        <v/>
      </c>
      <c r="E42" t="str">
        <v/>
      </c>
      <c r="F42" t="str">
        <v/>
      </c>
      <c r="G42" t="str">
        <v/>
      </c>
      <c r="H42" t="str">
        <v>un</v>
      </c>
      <c r="I42" t="str">
        <v/>
      </c>
      <c r="J42" t="str">
        <v>Portas/frentes aglomerado 19 mm ou MDF hidrófugo 19 mm lacado RAL 9010 ('MEIO BRILHO?'); armários de cima MDF hidrófugo SONAE ARAUCO M4451 Mediterranean; ilhargas, fundos e prateleiras aglomerado laminado 16/10/5 mm</v>
      </c>
      <c r="K42" t="str">
        <v>Dobradiças de copo Häfele 329.17.802/800 + calço 329.67.040 (2x baixos, 4x altos, 'confirmar'); 3 gavetas 553.78.707 + fixadores 553.59.991; balde de lixo 502.70.522; puxador perfil alumínio 126.36.705; ferragem de dispenseiro; LED encastrado nos superiores</v>
      </c>
      <c r="M42">
        <f>IF(AND(ISNUMBER(G42),ISNUMBER(L42)),G42*L42,"")</f>
      </c>
      <c r="N42" t="str">
        <v>não está no MQT: perguntar à ICON</v>
      </c>
    </row>
    <row r="44">
      <c r="A44" t="str">
        <v/>
      </c>
      <c r="B44" t="str">
        <v/>
      </c>
      <c r="C44" t="str">
        <v>TOTAL DA SUBEMPREITADA (sem IVA)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>
        <f>SUM(I5:I42)</f>
      </c>
      <c r="J44" t="str">
        <v/>
      </c>
      <c r="K44" t="str">
        <v/>
      </c>
      <c r="L44" t="str">
        <v/>
      </c>
      <c r="M44">
        <f>SUM(M5:M42)</f>
      </c>
      <c r="N44" t="str">
        <v/>
      </c>
    </row>
  </sheetData>
  <autoFilter ref="A4:N42"/>
  <ignoredErrors>
    <ignoredError numberStoredAsText="1" sqref="A1:N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4.83203125" customWidth="1"/>
    <col min="2" max="2" width="110.83203125" customWidth="1"/>
    <col min="3" max="3" width="50.83203125" customWidth="1"/>
  </cols>
  <sheetData>
    <row r="1">
      <c r="A1" t="str">
        <v>Pedidos de esclarecimento à ICON</v>
      </c>
    </row>
    <row r="2">
      <c r="A2" t="str">
        <v>Diferenças entre o MQT e os desenhos, ou informação em falta. Rever antes de enviar.</v>
      </c>
    </row>
    <row r="4">
      <c r="A4" t="str">
        <v>#</v>
      </c>
      <c r="B4" t="str">
        <v>Pergunta</v>
      </c>
      <c r="C4" t="str">
        <v>Resposta da ICON</v>
      </c>
    </row>
    <row r="5">
      <c r="A5">
        <v>1</v>
      </c>
      <c r="B5" t="str">
        <v>Cozinhas CZ-01 a CZ-05 e bancadas têm desenhos mas não têm artigo no MQT: incluir ou não? Quantas cozinhas de cada tipo?</v>
      </c>
      <c r="C5" t="str">
        <v/>
      </c>
    </row>
    <row r="6">
      <c r="A6">
        <v>2</v>
      </c>
      <c r="B6" t="str">
        <v>Bancada: atlasPLAN Bianco Dolomite (desenhos CZ) ou Silestone Nolita + Grespania Menta mix (folha Bancadas)? Fornecimento pela carpintaria?</v>
      </c>
      <c r="C6" t="str">
        <v/>
      </c>
    </row>
    <row r="7">
      <c r="A7">
        <v>3</v>
      </c>
      <c r="B7" t="str">
        <v>Lacado: meio brilho (MQT) ou mate (mapa de vãos)? Cozinhas marcadas 'MEIO BRILHO?'</v>
      </c>
      <c r="C7" t="str">
        <v/>
      </c>
    </row>
    <row r="8">
      <c r="A8">
        <v>4</v>
      </c>
      <c r="B8" t="str">
        <v>Roupeiros: puxador em cava (MQT) ou cilíndrico Häfele 135.93.903 (desenhos)?</v>
      </c>
      <c r="C8" t="str">
        <v/>
      </c>
    </row>
    <row r="9">
      <c r="A9">
        <v>5</v>
      </c>
      <c r="B9" t="str">
        <v>VI-02/VI-03: no desenho VI-02 tem uma variante pocket (1 un) e VI-03 é pocket; no MQT são batentes. Qual vale?</v>
      </c>
      <c r="C9" t="str">
        <v/>
      </c>
    </row>
    <row r="10">
      <c r="A10">
        <v>6</v>
      </c>
      <c r="B10" t="str">
        <v>VI-01: espessura 50 mm (desenho) ou 55 mm (MQT)? Fechadura eletrónica fornecida pelo cliente: montagem incluída?</v>
      </c>
      <c r="C10" t="str">
        <v/>
      </c>
    </row>
    <row r="11">
      <c r="A11">
        <v>7</v>
      </c>
      <c r="B11" t="str">
        <v>ARM.TEC-06 e ARM.TE-08 a 13 (14 un) não têm desenho; só ARMTE-01/03/04/06 e TEC-01 a 05 têm. Material: MDF (MQT) ou MDF termolaminado carvalho (desenhos), textura a definir. Pedir pormenores e dimensões</v>
      </c>
      <c r="C11" t="str">
        <v/>
      </c>
    </row>
    <row r="12">
      <c r="A12">
        <v>8</v>
      </c>
      <c r="B12" t="str">
        <v>PR-01: MQT 2 un, desenho só identifica Piso 3 Fração 2.1-G-T2. Onde é a segunda? Painel de correr ripado opcional: incluir?</v>
      </c>
      <c r="C12" t="str">
        <v/>
      </c>
    </row>
    <row r="13">
      <c r="A13">
        <v>9</v>
      </c>
      <c r="B13" t="str">
        <v>LAV01/LAV02: interior lacado preto (desenho) ou melamina (MQT)? Lavatório HIMACS fornecido por quem?</v>
      </c>
      <c r="C13" t="str">
        <v/>
      </c>
    </row>
    <row r="14">
      <c r="A14">
        <v>10</v>
      </c>
      <c r="B14" t="str">
        <v>Dobradiças de cozinha: número por porta a confirmar (nota do próprio desenho)</v>
      </c>
      <c r="C14" t="str">
        <v/>
      </c>
    </row>
    <row r="15">
      <c r="A15">
        <v>11</v>
      </c>
      <c r="B15" t="str">
        <v>Rodapé 293,72 ml: inclui as cozinhas (estas levam rodapé de alumínio 120 mm)?</v>
      </c>
      <c r="C15" t="str">
        <v/>
      </c>
    </row>
    <row r="16">
      <c r="A16">
        <v>12</v>
      </c>
      <c r="B16" t="str">
        <v>Fase de projecto é Licenciamento: cotas a verificar em obra; haverá projecto de execução antes da adjudicação?</v>
      </c>
      <c r="C16" t="str">
        <v/>
      </c>
    </row>
  </sheetData>
  <ignoredErrors>
    <ignoredError numberStoredAsText="1" sqref="A1:C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Fora do âmbito provável</v>
      </c>
    </row>
    <row r="3">
      <c r="A3" t="str">
        <v/>
      </c>
      <c r="B3" t="str">
        <v>RV-01 a RV-10: resguardos em vidro temperado (vidraria/serralharia)</v>
      </c>
    </row>
    <row r="4">
      <c r="A4" t="str">
        <v/>
      </c>
      <c r="B4" t="str">
        <v>VI-07: porta corta-fogo metálica</v>
      </c>
    </row>
    <row r="5">
      <c r="A5" t="str">
        <v/>
      </c>
      <c r="B5" t="str">
        <v>Bancadas em pedra/cerâmica (a confirmar se entram na subempreitada)</v>
      </c>
    </row>
    <row r="7">
      <c r="A7" t="str">
        <v>Notas gerais do MQT</v>
      </c>
    </row>
    <row r="9">
      <c r="A9" t="str">
        <v/>
      </c>
      <c r="B9" t="str">
        <v>Acabamentos (pinturas, envernizamentos) incluídos nos artigos</v>
      </c>
    </row>
    <row r="10">
      <c r="A10" t="str">
        <v/>
      </c>
      <c r="B10" t="str">
        <v>Folha de madeira: veios conforme desenhos, verniz PU 2 componentes mate</v>
      </c>
    </row>
    <row r="11">
      <c r="A11" t="str">
        <v/>
      </c>
      <c r="B11" t="str">
        <v>Portas com faces diferentes: lacagem sobre folha de equilíbrio igual à da face oposta</v>
      </c>
    </row>
    <row r="12">
      <c r="A12" t="str">
        <v/>
      </c>
      <c r="B12" t="str">
        <v>Painéis folheados: tapa-poros na contra-face; MDF lacado: 1 demão de primário</v>
      </c>
    </row>
    <row r="13">
      <c r="A13" t="str">
        <v/>
      </c>
      <c r="B13" t="str">
        <v>Zonas húmidas: aglomerado/MDF hidrófugo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4.83203125" customWidth="1"/>
    <col min="2" max="2" width="50.83203125" customWidth="1"/>
  </cols>
  <sheetData>
    <row r="1">
      <c r="A1" t="str">
        <v>Documentos lidos</v>
      </c>
    </row>
    <row r="3">
      <c r="A3" t="str">
        <v>Pasta</v>
      </c>
      <c r="B3" t="str">
        <v>Desenho</v>
      </c>
    </row>
    <row r="4">
      <c r="A4" t="str">
        <v>ARQ_02_ PLANTAS ID</v>
      </c>
      <c r="B4" t="str">
        <v>ARQ_02_01 Piso -1</v>
      </c>
    </row>
    <row r="5">
      <c r="A5" t="str">
        <v>ARQ_02_ PLANTAS ID</v>
      </c>
      <c r="B5" t="str">
        <v>ARQ_02_02 Piso 1</v>
      </c>
    </row>
    <row r="6">
      <c r="A6" t="str">
        <v>ARQ_02_ PLANTAS ID</v>
      </c>
      <c r="B6" t="str">
        <v>ARQ_02_03 Piso 2</v>
      </c>
    </row>
    <row r="7">
      <c r="A7" t="str">
        <v>ARQ_02_ PLANTAS ID</v>
      </c>
      <c r="B7" t="str">
        <v>ARQ_02_04 Piso 3</v>
      </c>
    </row>
    <row r="8">
      <c r="A8" t="str">
        <v>ARQ_02_ PLANTAS ID</v>
      </c>
      <c r="B8" t="str">
        <v>ARQ_02_05 Piso 4</v>
      </c>
    </row>
    <row r="9">
      <c r="A9" t="str">
        <v>ARQ_02_ PLANTAS ID</v>
      </c>
      <c r="B9" t="str">
        <v>ARQ_02_06 Piso cobertura</v>
      </c>
    </row>
    <row r="10">
      <c r="A10" t="str">
        <v>ARQ_09_ INSTALAÇÕES SANITÁRIAS</v>
      </c>
      <c r="B10" t="str">
        <v>ARQ_09_01 IS-01</v>
      </c>
    </row>
    <row r="11">
      <c r="A11" t="str">
        <v>ARQ_09_ INSTALAÇÕES SANITÁRIAS</v>
      </c>
      <c r="B11" t="str">
        <v>ARQ_09_02 IS-02</v>
      </c>
    </row>
    <row r="12">
      <c r="A12" t="str">
        <v>ARQ_09_ INSTALAÇÕES SANITÁRIAS</v>
      </c>
      <c r="B12" t="str">
        <v>ARQ_09_03 IS-03</v>
      </c>
    </row>
    <row r="13">
      <c r="A13" t="str">
        <v>ARQ_09_ INSTALAÇÕES SANITÁRIAS</v>
      </c>
      <c r="B13" t="str">
        <v>ARQ_09_04 IS-04</v>
      </c>
    </row>
    <row r="14">
      <c r="A14" t="str">
        <v>ARQ_09_ INSTALAÇÕES SANITÁRIAS</v>
      </c>
      <c r="B14" t="str">
        <v>ARQ_09_05 IS-05</v>
      </c>
    </row>
    <row r="15">
      <c r="A15" t="str">
        <v>ARQ_09_ INSTALAÇÕES SANITÁRIAS</v>
      </c>
      <c r="B15" t="str">
        <v>ARQ_09_06 IS-06</v>
      </c>
    </row>
    <row r="16">
      <c r="A16" t="str">
        <v>ARQ_09_ INSTALAÇÕES SANITÁRIAS</v>
      </c>
      <c r="B16" t="str">
        <v>ARQ_09_07 IS-07</v>
      </c>
    </row>
    <row r="17">
      <c r="A17" t="str">
        <v>ARQ_09_ INSTALAÇÕES SANITÁRIAS</v>
      </c>
      <c r="B17" t="str">
        <v>ARQ_09_08 IS-08</v>
      </c>
    </row>
    <row r="18">
      <c r="A18" t="str">
        <v>ARQ_09_ INSTALAÇÕES SANITÁRIAS</v>
      </c>
      <c r="B18" t="str">
        <v>ARQ_09_09 IS-09</v>
      </c>
    </row>
    <row r="19">
      <c r="A19" t="str">
        <v>ARQ_09_ INSTALAÇÕES SANITÁRIAS</v>
      </c>
      <c r="B19" t="str">
        <v>ARQ_09_10 IS-10</v>
      </c>
    </row>
    <row r="20">
      <c r="A20" t="str">
        <v>ARQ_09_ INSTALAÇÕES SANITÁRIAS</v>
      </c>
      <c r="B20" t="str">
        <v>ARQ_09_11 Resguardos RV-01 a RV-06</v>
      </c>
    </row>
    <row r="21">
      <c r="A21" t="str">
        <v>ARQ_09_ INSTALAÇÕES SANITÁRIAS</v>
      </c>
      <c r="B21" t="str">
        <v>ARQ_09_12 Resguardos RV-07 a RV-10</v>
      </c>
    </row>
    <row r="22">
      <c r="A22" t="str">
        <v>ARQ_09_ INSTALAÇÕES SANITÁRIAS</v>
      </c>
      <c r="B22" t="str">
        <v>ARQ_09_13 Lavatorios LAV-01</v>
      </c>
    </row>
    <row r="23">
      <c r="A23" t="str">
        <v>ARQ_09_ INSTALAÇÕES SANITÁRIAS</v>
      </c>
      <c r="B23" t="str">
        <v>ARQ_09_14 Lavatorios LAV-02</v>
      </c>
    </row>
    <row r="24">
      <c r="A24" t="str">
        <v>ARQ_10_ COZINHAS</v>
      </c>
      <c r="B24" t="str">
        <v>ARQ_10_01 CZ-01</v>
      </c>
    </row>
    <row r="25">
      <c r="A25" t="str">
        <v>ARQ_10_ COZINHAS</v>
      </c>
      <c r="B25" t="str">
        <v>ARQ_10_02 CZ-02</v>
      </c>
    </row>
    <row r="26">
      <c r="A26" t="str">
        <v>ARQ_10_ COZINHAS</v>
      </c>
      <c r="B26" t="str">
        <v>ARQ_10_03 CZ-03</v>
      </c>
    </row>
    <row r="27">
      <c r="A27" t="str">
        <v>ARQ_10_ COZINHAS</v>
      </c>
      <c r="B27" t="str">
        <v>ARQ_10_04 CZ-04</v>
      </c>
    </row>
    <row r="28">
      <c r="A28" t="str">
        <v>ARQ_10_ COZINHAS</v>
      </c>
      <c r="B28" t="str">
        <v>ARQ_10_05 CZ-05</v>
      </c>
    </row>
    <row r="29">
      <c r="A29" t="str">
        <v>ARQ_10_ COZINHAS</v>
      </c>
      <c r="B29" t="str">
        <v>ARQ_10_06 Bancadas</v>
      </c>
    </row>
    <row r="30">
      <c r="A30" t="str">
        <v>ARQ_12_ ARMÁRIOS</v>
      </c>
      <c r="B30" t="str">
        <v>ARQ_12_01 ARM-01 e ARM-02</v>
      </c>
    </row>
    <row r="31">
      <c r="A31" t="str">
        <v>ARQ_12_ ARMÁRIOS</v>
      </c>
      <c r="B31" t="str">
        <v>ARQ_12_02 ARM-03 e ARM-04</v>
      </c>
    </row>
    <row r="32">
      <c r="A32" t="str">
        <v>ARQ_12_ ARMÁRIOS</v>
      </c>
      <c r="B32" t="str">
        <v>ARQ_12_03 ARM-05 e ARM-06</v>
      </c>
    </row>
    <row r="33">
      <c r="A33" t="str">
        <v>ARQ_12_ ARMÁRIOS</v>
      </c>
      <c r="B33" t="str">
        <v>ARQ_12_04 ARM-07 e ARM-08</v>
      </c>
    </row>
    <row r="34">
      <c r="A34" t="str">
        <v>ARQ_12_ ARMÁRIOS</v>
      </c>
      <c r="B34" t="str">
        <v>ARQ_12_05 ARM-09 e ARM-10</v>
      </c>
    </row>
    <row r="35">
      <c r="A35" t="str">
        <v>ARQ_13_ ARMÁRIOS TÉCNICOS</v>
      </c>
      <c r="B35" t="str">
        <v>ARQ_13_01 TEC-01 e TEC-02</v>
      </c>
    </row>
    <row r="36">
      <c r="A36" t="str">
        <v>ARQ_13_ ARMÁRIOS TÉCNICOS</v>
      </c>
      <c r="B36" t="str">
        <v>ARQ_13_02 TEC-03 e TEC-04</v>
      </c>
    </row>
    <row r="37">
      <c r="A37" t="str">
        <v>ARQ_13_ ARMÁRIOS TÉCNICOS</v>
      </c>
      <c r="B37" t="str">
        <v>ARQ_13_03 TEC-05 e Quantidades</v>
      </c>
    </row>
    <row r="38">
      <c r="A38" t="str">
        <v>ARQ_13_ ARMÁRIOS TÉCNICOS</v>
      </c>
      <c r="B38" t="str">
        <v>ARQ_13_04 ARMTE-01</v>
      </c>
    </row>
    <row r="39">
      <c r="A39" t="str">
        <v>ARQ_13_ ARMÁRIOS TÉCNICOS</v>
      </c>
      <c r="B39" t="str">
        <v>ARQ_13_05 ARMTE-03</v>
      </c>
    </row>
    <row r="40">
      <c r="A40" t="str">
        <v>ARQ_13_ ARMÁRIOS TÉCNICOS</v>
      </c>
      <c r="B40" t="str">
        <v>ARQ_13_06 ARMTE-04</v>
      </c>
    </row>
    <row r="41">
      <c r="A41" t="str">
        <v>ARQ_13_ ARMÁRIOS TÉCNICOS</v>
      </c>
      <c r="B41" t="str">
        <v>ARQ_13_07 ARMTE-06</v>
      </c>
    </row>
    <row r="42">
      <c r="A42" t="str">
        <v>ARQ_14_ PAINEIS E RIPADOS</v>
      </c>
      <c r="B42" t="str">
        <v>ARQ_14_01 PR-01</v>
      </c>
    </row>
    <row r="43">
      <c r="A43" t="str">
        <v>ARQ_14_ PAINEIS E RIPADOS</v>
      </c>
      <c r="B43" t="str">
        <v>ARQ_14_02 PR-02</v>
      </c>
    </row>
    <row r="44">
      <c r="A44" t="str">
        <v>ARQ_19_ VAOS INTERIORES</v>
      </c>
      <c r="B44" t="str">
        <v>ARQ_19_01 VI-01 a VI-03</v>
      </c>
    </row>
    <row r="45">
      <c r="A45" t="str">
        <v>ARQ_19_ VAOS INTERIORES</v>
      </c>
      <c r="B45" t="str">
        <v>ARQ_19_02 VI-04 a VI-07</v>
      </c>
    </row>
    <row r="46">
      <c r="A46" t="str">
        <v>Excel</v>
      </c>
      <c r="B46" t="str">
        <v>ICON SAILOR_Carpintaria_mqt (mapa de quantidades)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Mapa para preço</vt:lpstr>
      <vt:lpstr>Esclarecimentos</vt:lpstr>
      <vt:lpstr>Âmbito e notas</vt:lpstr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